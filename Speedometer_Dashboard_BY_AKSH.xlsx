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shboard\"/>
    </mc:Choice>
  </mc:AlternateContent>
  <xr:revisionPtr revIDLastSave="0" documentId="13_ncr:1_{D0367CFF-AA3A-42D1-BA06-653B319C20F4}" xr6:coauthVersionLast="47" xr6:coauthVersionMax="47" xr10:uidLastSave="{00000000-0000-0000-0000-000000000000}"/>
  <bookViews>
    <workbookView xWindow="-120" yWindow="-120" windowWidth="29040" windowHeight="15720" activeTab="1" xr2:uid="{E760B306-68D6-4885-B873-B1C8F6A7E9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0" i="2" l="1"/>
  <c r="C4" i="2" a="1"/>
  <c r="C4" i="2" s="1"/>
  <c r="E3" i="2"/>
  <c r="F3" i="2"/>
  <c r="G3" i="2"/>
  <c r="H3" i="2"/>
  <c r="I3" i="2"/>
  <c r="J3" i="2"/>
  <c r="K3" i="2"/>
  <c r="L3" i="2"/>
  <c r="C3" i="2"/>
  <c r="F4" i="2" l="1"/>
  <c r="G4" i="2"/>
  <c r="H4" i="2"/>
  <c r="I4" i="2"/>
  <c r="J4" i="2"/>
  <c r="K4" i="2"/>
  <c r="L4" i="2"/>
  <c r="D4" i="2"/>
  <c r="E4" i="2"/>
  <c r="D3" i="2"/>
  <c r="M4" i="2" l="1"/>
  <c r="T58" i="2" l="1"/>
  <c r="T60" i="2" s="1"/>
  <c r="W59" i="2"/>
  <c r="R67" i="2" s="1"/>
  <c r="H39" i="2"/>
  <c r="H40" i="2"/>
  <c r="H38" i="2"/>
  <c r="O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<sst xmlns="http://schemas.openxmlformats.org/spreadsheetml/2006/main" count="32" uniqueCount="32">
  <si>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Delhi</t>
  </si>
  <si>
    <t>Patna</t>
  </si>
  <si>
    <t>Bhopal</t>
  </si>
  <si>
    <t>Ahmedabad</t>
  </si>
  <si>
    <t>Indore</t>
  </si>
  <si>
    <t>Gurugram</t>
  </si>
  <si>
    <t>City</t>
  </si>
  <si>
    <t>WEEK 1</t>
  </si>
  <si>
    <t>WEEK 2</t>
  </si>
  <si>
    <t>WEEK 3</t>
  </si>
  <si>
    <t>WEEK 4</t>
  </si>
  <si>
    <t>WEEK 5</t>
  </si>
  <si>
    <t>WEEK 6</t>
  </si>
  <si>
    <t>WEEK 7</t>
  </si>
  <si>
    <t>POLLUTION ANALYSIS CITY WISE WEEKLY BASIS 2026</t>
  </si>
  <si>
    <t>Avg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</si>
  <si>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</si>
  <si>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</si>
  <si>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</si>
  <si>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</si>
  <si>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</si>
  <si>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</si>
  <si>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</si>
  <si>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</si>
  <si>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</si>
  <si>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Noida</t>
  </si>
  <si>
    <t>&gt;50</t>
  </si>
  <si>
    <t>&lt;40</t>
  </si>
  <si>
    <t>&gt;=40,&lt;=50</t>
  </si>
  <si>
    <t>Data1</t>
  </si>
  <si>
    <t>Data2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</si>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</sst>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6"/>
      <color theme="0" tint="-4.9989318521683403E-2"/>
      <name val="Aptos Narrow"/>
      <family val="2"/>
      <scheme val="minor"/>
    </font>
    <font>
      <sz val="36"/>
      <color theme="9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5" xfId="0" applyFont="1" applyFill="1" applyBorder="1"/>
    <xf numFmtId="0" fontId="2" fillId="4" borderId="6" xfId="0" applyFont="1" applyFill="1" applyBorder="1"/>
    <xf numFmtId="0" fontId="2" fillId="4" borderId="14" xfId="0" applyFont="1" applyFill="1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0" xfId="0" applyFill="1" applyBorder="1"/>
    <xf numFmtId="0" fontId="0" fillId="5" borderId="0" xfId="0" applyFill="1" applyBorder="1" applyAlignment="1"/>
    <xf numFmtId="0" fontId="0" fillId="5" borderId="11" xfId="0" applyFill="1" applyBorder="1" applyAlignment="1"/>
    <xf numFmtId="0" fontId="0" fillId="0" borderId="0" xfId="0" applyFill="1" applyBorder="1" applyAlignment="1"/>
    <xf numFmtId="0" fontId="0" fillId="0" borderId="11" xfId="0" applyFill="1" applyBorder="1" applyAlignment="1"/>
    <xf numFmtId="9" fontId="0" fillId="0" borderId="0" xfId="1" applyFont="1" applyFill="1" applyBorder="1"/>
    <xf numFmtId="0" fontId="0" fillId="0" borderId="15" xfId="0" applyFill="1" applyBorder="1"/>
    <xf numFmtId="0" fontId="0" fillId="0" borderId="18" xfId="0" applyFill="1" applyBorder="1" applyAlignment="1">
      <alignment horizontal="center"/>
    </xf>
    <xf numFmtId="9" fontId="0" fillId="0" borderId="0" xfId="1" applyFont="1"/>
    <xf numFmtId="9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6"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00FF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66FF33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</dxfs>
  <tableStyles count="0" defaultTableStyle="TableStyleMedium2" defaultPivotStyle="PivotStyleLight16"/>
  <colors>
    <mruColors>
      <color rgb="FFFF0000"/>
      <color rgb="FFFF3300"/>
      <color rgb="FFFFFF00"/>
      <color rgb="FF66FF33"/>
      <color rgb="FF00FF00"/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Sheet2!$D$3:$L$3</c:f>
              <c:strCache>
                <c:ptCount val="9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</c:strCache>
            </c:strRef>
          </c:cat>
          <c:val>
            <c:numRef>
              <c:f>Sheet2!$D$4:$L$4</c:f>
              <c:numCache>
                <c:formatCode>General</c:formatCode>
                <c:ptCount val="9"/>
                <c:pt idx="0">
                  <c:v>66</c:v>
                </c:pt>
                <c:pt idx="1">
                  <c:v>14</c:v>
                </c:pt>
                <c:pt idx="2">
                  <c:v>90</c:v>
                </c:pt>
                <c:pt idx="3">
                  <c:v>86</c:v>
                </c:pt>
                <c:pt idx="4">
                  <c:v>67</c:v>
                </c:pt>
                <c:pt idx="5">
                  <c:v>85</c:v>
                </c:pt>
                <c:pt idx="6">
                  <c:v>34</c:v>
                </c:pt>
                <c:pt idx="7">
                  <c:v>84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2-4576-BC8A-4F395707331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47287823"/>
        <c:axId val="1547273903"/>
        <c:axId val="0"/>
      </c:bar3DChart>
      <c:catAx>
        <c:axId val="15472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73903"/>
        <c:crosses val="autoZero"/>
        <c:auto val="1"/>
        <c:lblAlgn val="ctr"/>
        <c:lblOffset val="100"/>
        <c:noMultiLvlLbl val="0"/>
      </c:catAx>
      <c:valAx>
        <c:axId val="1547273903"/>
        <c:scaling>
          <c:orientation val="minMax"/>
          <c:max val="1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28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5018409215284792E-2"/>
          <c:y val="0.15464470152024754"/>
          <c:w val="0.7487320394416207"/>
          <c:h val="0.7297234094922641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F-4A49-B336-DA5F1B81CA43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F-4A49-B336-DA5F1B81CA43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F-4A49-B336-DA5F1B81CA43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CF-4A49-B336-DA5F1B81CA43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CF-4A49-B336-DA5F1B81CA43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CF-4A49-B336-DA5F1B81CA43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CF-4A49-B336-DA5F1B81CA43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CF-4A49-B336-DA5F1B81CA43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CF-4A49-B336-DA5F1B81CA43}"/>
              </c:ext>
            </c:extLst>
          </c:dPt>
          <c:cat>
            <c:strRef>
              <c:f>Sheet2!$D$3:$L$3</c:f>
              <c:strCache>
                <c:ptCount val="9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</c:strCache>
            </c:strRef>
          </c:cat>
          <c:val>
            <c:numRef>
              <c:f>Sheet2!$D$4:$L$4</c:f>
              <c:numCache>
                <c:formatCode>General</c:formatCode>
                <c:ptCount val="9"/>
                <c:pt idx="0">
                  <c:v>66</c:v>
                </c:pt>
                <c:pt idx="1">
                  <c:v>14</c:v>
                </c:pt>
                <c:pt idx="2">
                  <c:v>90</c:v>
                </c:pt>
                <c:pt idx="3">
                  <c:v>86</c:v>
                </c:pt>
                <c:pt idx="4">
                  <c:v>67</c:v>
                </c:pt>
                <c:pt idx="5">
                  <c:v>85</c:v>
                </c:pt>
                <c:pt idx="6">
                  <c:v>34</c:v>
                </c:pt>
                <c:pt idx="7">
                  <c:v>84</c:v>
                </c:pt>
                <c:pt idx="8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65-4601-A8E9-950EF6D10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52491347189984"/>
          <c:y val="0.12235451771383435"/>
          <c:w val="0.87047508652810013"/>
          <c:h val="0.63052028391388282"/>
        </c:manualLayout>
      </c:layout>
      <c:doughnutChart>
        <c:varyColors val="1"/>
        <c:ser>
          <c:idx val="0"/>
          <c:order val="0"/>
          <c:tx>
            <c:strRef>
              <c:f>Sheet2!$S$57</c:f>
              <c:strCache>
                <c:ptCount val="1"/>
                <c:pt idx="0">
                  <c:v>Data1</c:v>
                </c:pt>
              </c:strCache>
            </c:strRef>
          </c:tx>
          <c:spPr>
            <a:ln>
              <a:solidFill>
                <a:schemeClr val="accent6">
                  <a:lumMod val="20000"/>
                  <a:lumOff val="80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39700" h="139700"/>
            </a:sp3d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1-F202-4533-9355-36A4F448A1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2-10FC-49B4-9011-1576C15F7F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3-10FC-49B4-9011-1576C15F7F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4-10FC-49B4-9011-1576C15F7F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5-10FC-49B4-9011-1576C15F7F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6-10FC-49B4-9011-1576C15F7F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7-10FC-49B4-9011-1576C15F7F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8-10FC-49B4-9011-1576C15F7F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9-10FC-49B4-9011-1576C15F7F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 w="139700" h="139700"/>
              </a:sp3d>
            </c:spPr>
            <c:extLst>
              <c:ext xmlns:c16="http://schemas.microsoft.com/office/drawing/2014/chart" uri="{C3380CC4-5D6E-409C-BE32-E72D297353CC}">
                <c16:uniqueId val="{0000000A-10FC-49B4-9011-1576C15F7F7B}"/>
              </c:ext>
            </c:extLst>
          </c:dPt>
          <c:dPt>
            <c:idx val="10"/>
            <c:bubble3D val="0"/>
            <c:spPr>
              <a:noFill/>
              <a:ln w="19050">
                <a:solidFill>
                  <a:schemeClr val="accent6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0FC-49B4-9011-1576C15F7F7B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20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0FC-49B4-9011-1576C15F7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30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0FC-49B4-9011-1576C15F7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40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0FC-49B4-9011-1576C15F7F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50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0FC-49B4-9011-1576C15F7F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60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0FC-49B4-9011-1576C15F7F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70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0FC-49B4-9011-1576C15F7F7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en-US"/>
                      <a:t>80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0FC-49B4-9011-1576C15F7F7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en-US"/>
                      <a:t>90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10FC-49B4-9011-1576C15F7F7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r>
                      <a:rPr lang="en-US"/>
                      <a:t>100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10FC-49B4-9011-1576C15F7F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FC-49B4-9011-1576C15F7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Sheet2!$S$58:$S$68</c:f>
              <c:numCache>
                <c:formatCode>General</c:formatCode>
                <c:ptCount val="11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C-49B4-9011-1576C15F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0"/>
      </c:doughnutChart>
      <c:pieChart>
        <c:varyColors val="1"/>
        <c:ser>
          <c:idx val="1"/>
          <c:order val="1"/>
          <c:spPr>
            <a:ln>
              <a:noFill/>
            </a:ln>
          </c:spPr>
          <c:explosion val="3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10FC-49B4-9011-1576C15F7F7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0FC-49B4-9011-1576C15F7F7B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FC-49B4-9011-1576C15F7F7B}"/>
              </c:ext>
            </c:extLst>
          </c:dPt>
          <c:dLbls>
            <c:dLbl>
              <c:idx val="1"/>
              <c:tx>
                <c:strRef>
                  <c:f>Sheet2!$T$58</c:f>
                  <c:strCache>
                    <c:ptCount val="1"/>
                    <c:pt idx="0">
                      <c:v>67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{01FB86B6-5859-4F78-A117-85A804187481}</c15:txfldGUID>
                      <c15:f>Sheet2!$T$58</c15:f>
                      <c15:dlblFieldTableCache>
                        <c:ptCount val="1"/>
                        <c:pt idx="0">
                          <c:v>67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10FC-49B4-9011-1576C15F7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Sheet2!$T$58:$T$60</c:f>
              <c:numCache>
                <c:formatCode>General</c:formatCode>
                <c:ptCount val="3"/>
                <c:pt idx="0">
                  <c:v>67</c:v>
                </c:pt>
                <c:pt idx="1">
                  <c:v>1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FC-49B4-9011-1576C15F7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61"/>
      </c:pieChart>
      <c:spPr>
        <a:noFill/>
        <a:ln>
          <a:solidFill>
            <a:schemeClr val="accent6">
              <a:lumMod val="20000"/>
              <a:lumOff val="80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gradFill flip="none" rotWithShape="1">
              <a:gsLst>
                <a:gs pos="8000">
                  <a:schemeClr val="accent6">
                    <a:lumMod val="40000"/>
                    <a:lumOff val="60000"/>
                  </a:schemeClr>
                </a:gs>
                <a:gs pos="55000">
                  <a:schemeClr val="accent6">
                    <a:lumMod val="95000"/>
                    <a:lumOff val="5000"/>
                  </a:schemeClr>
                </a:gs>
                <a:gs pos="100000">
                  <a:schemeClr val="tx1"/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473200">
                <a:schemeClr val="accent1">
                  <a:alpha val="0"/>
                </a:schemeClr>
              </a:glow>
              <a:innerShdw blurRad="63500" dist="50800">
                <a:prstClr val="black">
                  <a:alpha val="50000"/>
                </a:prstClr>
              </a:inn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088880935892131"/>
                      <c:h val="0.119817872406589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687-4A3E-977B-AA76802DE5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Sheet2!$W$59</c:f>
              <c:numCache>
                <c:formatCode>0%</c:formatCode>
                <c:ptCount val="1"/>
                <c:pt idx="0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D-496D-997E-204CE703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8688560"/>
        <c:axId val="28687120"/>
      </c:barChart>
      <c:catAx>
        <c:axId val="28688560"/>
        <c:scaling>
          <c:orientation val="minMax"/>
        </c:scaling>
        <c:delete val="1"/>
        <c:axPos val="b"/>
        <c:majorTickMark val="none"/>
        <c:minorTickMark val="none"/>
        <c:tickLblPos val="nextTo"/>
        <c:crossAx val="28687120"/>
        <c:crosses val="autoZero"/>
        <c:auto val="1"/>
        <c:lblAlgn val="ctr"/>
        <c:lblOffset val="100"/>
        <c:noMultiLvlLbl val="0"/>
      </c:catAx>
      <c:valAx>
        <c:axId val="286871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88560"/>
        <c:crosses val="autoZero"/>
        <c:crossBetween val="between"/>
      </c:valAx>
      <c:spPr>
        <a:gradFill flip="none" rotWithShape="1">
          <a:gsLst>
            <a:gs pos="0">
              <a:schemeClr val="accent2">
                <a:lumMod val="0"/>
                <a:lumOff val="100000"/>
              </a:schemeClr>
            </a:gs>
            <a:gs pos="15000">
              <a:schemeClr val="accent2">
                <a:lumMod val="0"/>
                <a:lumOff val="100000"/>
              </a:schemeClr>
            </a:gs>
            <a:gs pos="35000">
              <a:srgbClr val="FF0000"/>
            </a:gs>
          </a:gsLst>
          <a:path path="circle">
            <a:fillToRect l="100000" b="100000"/>
          </a:path>
          <a:tileRect t="-100000" r="-100000"/>
        </a:gradFill>
        <a:ln>
          <a:solidFill>
            <a:schemeClr val="tx1">
              <a:lumMod val="15000"/>
              <a:lumOff val="85000"/>
            </a:schemeClr>
          </a:solidFill>
        </a:ln>
        <a:effectLst>
          <a:glow rad="165100">
            <a:schemeClr val="accent1">
              <a:alpha val="14000"/>
            </a:schemeClr>
          </a:glow>
          <a:innerShdw blurRad="114300">
            <a:prstClr val="black"/>
          </a:inn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A$3" max="7" min="1" page="10"/>
</file>

<file path=xl/ctrlProps/ctrlProp2.xml><?xml version="1.0" encoding="utf-8"?>
<formControlPr xmlns="http://schemas.microsoft.com/office/spreadsheetml/2009/9/main" objectType="List" dx="22" fmlaLink="$A$3" fmlaRange="Sheet1!$B$3:$B$9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5600</xdr:colOff>
      <xdr:row>4</xdr:row>
      <xdr:rowOff>6723</xdr:rowOff>
    </xdr:from>
    <xdr:to>
      <xdr:col>5</xdr:col>
      <xdr:colOff>437029</xdr:colOff>
      <xdr:row>16</xdr:row>
      <xdr:rowOff>140072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92A828-301A-0FB4-7DAD-63B74C075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509874</xdr:colOff>
      <xdr:row>4</xdr:row>
      <xdr:rowOff>22412</xdr:rowOff>
    </xdr:from>
    <xdr:to>
      <xdr:col>15</xdr:col>
      <xdr:colOff>605123</xdr:colOff>
      <xdr:row>17</xdr:row>
      <xdr:rowOff>5604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835A3F-378A-5751-EAEC-4EBC83D98F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8</xdr:row>
          <xdr:rowOff>95250</xdr:rowOff>
        </xdr:from>
        <xdr:to>
          <xdr:col>1</xdr:col>
          <xdr:colOff>0</xdr:colOff>
          <xdr:row>13</xdr:row>
          <xdr:rowOff>95250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571499</xdr:colOff>
      <xdr:row>42</xdr:row>
      <xdr:rowOff>134470</xdr:rowOff>
    </xdr:from>
    <xdr:to>
      <xdr:col>8</xdr:col>
      <xdr:colOff>610720</xdr:colOff>
      <xdr:row>43</xdr:row>
      <xdr:rowOff>5603</xdr:rowOff>
    </xdr:to>
    <xdr:sp macro="" textlink="">
      <xdr:nvSpPr>
        <xdr:cNvPr id="8" name="Rectangle: Top Corners Snipped 7">
          <a:extLst>
            <a:ext uri="{FF2B5EF4-FFF2-40B4-BE49-F238E27FC236}">
              <a16:creationId xmlns:a16="http://schemas.microsoft.com/office/drawing/2014/main" id="{AA8BB2B4-997C-15ED-8F2B-D614D8F10436}"/>
            </a:ext>
          </a:extLst>
        </xdr:cNvPr>
        <xdr:cNvSpPr/>
      </xdr:nvSpPr>
      <xdr:spPr>
        <a:xfrm>
          <a:off x="5087470" y="8180294"/>
          <a:ext cx="649941" cy="61633"/>
        </a:xfrm>
        <a:prstGeom prst="snip2SameRect">
          <a:avLst/>
        </a:prstGeom>
        <a:gradFill>
          <a:gsLst>
            <a:gs pos="95000">
              <a:srgbClr val="64B249"/>
            </a:gs>
            <a:gs pos="0">
              <a:schemeClr val="accent6">
                <a:lumMod val="0"/>
                <a:lumOff val="100000"/>
              </a:schemeClr>
            </a:gs>
            <a:gs pos="49000">
              <a:schemeClr val="bg1"/>
            </a:gs>
            <a:gs pos="99000">
              <a:schemeClr val="tx1"/>
            </a:gs>
          </a:gsLst>
          <a:path path="circle">
            <a:fillToRect l="50000" t="-80000" r="50000" b="180000"/>
          </a:path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39220</xdr:colOff>
      <xdr:row>4</xdr:row>
      <xdr:rowOff>44822</xdr:rowOff>
    </xdr:from>
    <xdr:to>
      <xdr:col>6</xdr:col>
      <xdr:colOff>700367</xdr:colOff>
      <xdr:row>7</xdr:row>
      <xdr:rowOff>67234</xdr:rowOff>
    </xdr:to>
    <xdr:sp macro="" textlink="$H$38">
      <xdr:nvSpPr>
        <xdr:cNvPr id="14" name="Rectangle 13">
          <a:extLst>
            <a:ext uri="{FF2B5EF4-FFF2-40B4-BE49-F238E27FC236}">
              <a16:creationId xmlns:a16="http://schemas.microsoft.com/office/drawing/2014/main" id="{7AFEF678-E086-E402-46B0-E3C036A20F26}"/>
            </a:ext>
          </a:extLst>
        </xdr:cNvPr>
        <xdr:cNvSpPr/>
      </xdr:nvSpPr>
      <xdr:spPr>
        <a:xfrm>
          <a:off x="3776382" y="840440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337CC7C-3320-4740-9ECD-24DEA04D6C35}" type="TxLink">
            <a:rPr lang="en-US" sz="6000" b="0" i="0" u="none" strike="noStrike">
              <a:ln>
                <a:noFill/>
              </a:ln>
              <a:solidFill>
                <a:srgbClr val="FF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=</a:t>
          </a:fld>
          <a:endParaRPr lang="en-IN" sz="6000">
            <a:ln>
              <a:noFill/>
            </a:ln>
            <a:solidFill>
              <a:srgbClr val="FF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57149</xdr:colOff>
      <xdr:row>9</xdr:row>
      <xdr:rowOff>186019</xdr:rowOff>
    </xdr:from>
    <xdr:to>
      <xdr:col>6</xdr:col>
      <xdr:colOff>718296</xdr:colOff>
      <xdr:row>13</xdr:row>
      <xdr:rowOff>17931</xdr:rowOff>
    </xdr:to>
    <xdr:sp macro="" textlink="$H$39">
      <xdr:nvSpPr>
        <xdr:cNvPr id="17" name="Rectangle 16">
          <a:extLst>
            <a:ext uri="{FF2B5EF4-FFF2-40B4-BE49-F238E27FC236}">
              <a16:creationId xmlns:a16="http://schemas.microsoft.com/office/drawing/2014/main" id="{A81BBA3D-968B-4580-BC00-12D70A700E0A}"/>
            </a:ext>
          </a:extLst>
        </xdr:cNvPr>
        <xdr:cNvSpPr/>
      </xdr:nvSpPr>
      <xdr:spPr>
        <a:xfrm>
          <a:off x="3794311" y="1934137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A1D1ED-1A24-492C-9715-BC0CA127CA89}" type="TxLink">
            <a:rPr lang="en-US" sz="6000" b="0" i="0" u="none" strike="noStrike">
              <a:solidFill>
                <a:srgbClr val="FFFF00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FFFF00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63874</xdr:colOff>
      <xdr:row>15</xdr:row>
      <xdr:rowOff>75082</xdr:rowOff>
    </xdr:from>
    <xdr:to>
      <xdr:col>6</xdr:col>
      <xdr:colOff>725021</xdr:colOff>
      <xdr:row>18</xdr:row>
      <xdr:rowOff>97494</xdr:rowOff>
    </xdr:to>
    <xdr:sp macro="" textlink="$H$40">
      <xdr:nvSpPr>
        <xdr:cNvPr id="18" name="Rectangle 17">
          <a:extLst>
            <a:ext uri="{FF2B5EF4-FFF2-40B4-BE49-F238E27FC236}">
              <a16:creationId xmlns:a16="http://schemas.microsoft.com/office/drawing/2014/main" id="{2535B2F3-804D-4603-8C2A-50BF16CED118}"/>
            </a:ext>
          </a:extLst>
        </xdr:cNvPr>
        <xdr:cNvSpPr/>
      </xdr:nvSpPr>
      <xdr:spPr>
        <a:xfrm>
          <a:off x="3801036" y="2966200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14A22-1AC3-45A4-A7EF-479480666160}" type="TxLink">
            <a:rPr lang="en-US" sz="6000" b="0" i="0" u="none" strike="noStrike">
              <a:solidFill>
                <a:srgbClr val="66FF33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66FF33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50426</xdr:colOff>
      <xdr:row>10</xdr:row>
      <xdr:rowOff>16812</xdr:rowOff>
    </xdr:from>
    <xdr:to>
      <xdr:col>6</xdr:col>
      <xdr:colOff>711573</xdr:colOff>
      <xdr:row>13</xdr:row>
      <xdr:rowOff>39224</xdr:rowOff>
    </xdr:to>
    <xdr:sp macro="" textlink="$H$38">
      <xdr:nvSpPr>
        <xdr:cNvPr id="19" name="Rectangle 18">
          <a:extLst>
            <a:ext uri="{FF2B5EF4-FFF2-40B4-BE49-F238E27FC236}">
              <a16:creationId xmlns:a16="http://schemas.microsoft.com/office/drawing/2014/main" id="{F6B5955C-E318-4A55-A3D9-7C8FB3B69B11}"/>
            </a:ext>
          </a:extLst>
        </xdr:cNvPr>
        <xdr:cNvSpPr/>
      </xdr:nvSpPr>
      <xdr:spPr>
        <a:xfrm>
          <a:off x="3787588" y="1955430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337CC7C-3320-4740-9ECD-24DEA04D6C35}" type="TxLink">
            <a:rPr lang="en-US" sz="6000" b="0" i="0" u="none" strike="noStrike">
              <a:ln>
                <a:noFill/>
              </a:ln>
              <a:solidFill>
                <a:srgbClr val="FF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=</a:t>
          </a:fld>
          <a:endParaRPr lang="en-IN" sz="6000">
            <a:ln>
              <a:noFill/>
            </a:ln>
            <a:solidFill>
              <a:srgbClr val="FF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69475</xdr:colOff>
      <xdr:row>15</xdr:row>
      <xdr:rowOff>58274</xdr:rowOff>
    </xdr:from>
    <xdr:to>
      <xdr:col>6</xdr:col>
      <xdr:colOff>730622</xdr:colOff>
      <xdr:row>18</xdr:row>
      <xdr:rowOff>80686</xdr:rowOff>
    </xdr:to>
    <xdr:sp macro="" textlink="$H$39">
      <xdr:nvSpPr>
        <xdr:cNvPr id="23" name="Rectangle 22">
          <a:extLst>
            <a:ext uri="{FF2B5EF4-FFF2-40B4-BE49-F238E27FC236}">
              <a16:creationId xmlns:a16="http://schemas.microsoft.com/office/drawing/2014/main" id="{08DE5864-983D-46D6-A3F4-87AC7BA2B197}"/>
            </a:ext>
          </a:extLst>
        </xdr:cNvPr>
        <xdr:cNvSpPr/>
      </xdr:nvSpPr>
      <xdr:spPr>
        <a:xfrm>
          <a:off x="3806637" y="2949392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A1D1ED-1A24-492C-9715-BC0CA127CA89}" type="TxLink">
            <a:rPr lang="en-US" sz="6000" b="0" i="0" u="none" strike="noStrike">
              <a:solidFill>
                <a:srgbClr val="FFFF00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FFFF00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59389</xdr:colOff>
      <xdr:row>4</xdr:row>
      <xdr:rowOff>70596</xdr:rowOff>
    </xdr:from>
    <xdr:to>
      <xdr:col>6</xdr:col>
      <xdr:colOff>720536</xdr:colOff>
      <xdr:row>7</xdr:row>
      <xdr:rowOff>93008</xdr:rowOff>
    </xdr:to>
    <xdr:sp macro="" textlink="$H$39">
      <xdr:nvSpPr>
        <xdr:cNvPr id="24" name="Rectangle 23">
          <a:extLst>
            <a:ext uri="{FF2B5EF4-FFF2-40B4-BE49-F238E27FC236}">
              <a16:creationId xmlns:a16="http://schemas.microsoft.com/office/drawing/2014/main" id="{4A15002F-988F-41F0-9F2A-49D9C1CF2F32}"/>
            </a:ext>
          </a:extLst>
        </xdr:cNvPr>
        <xdr:cNvSpPr/>
      </xdr:nvSpPr>
      <xdr:spPr>
        <a:xfrm>
          <a:off x="3796551" y="866214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0A1D1ED-1A24-492C-9715-BC0CA127CA89}" type="TxLink">
            <a:rPr lang="en-US" sz="6000" b="0" i="0" u="none" strike="noStrike">
              <a:solidFill>
                <a:srgbClr val="FFFF00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FFFF00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54910</xdr:colOff>
      <xdr:row>4</xdr:row>
      <xdr:rowOff>32496</xdr:rowOff>
    </xdr:from>
    <xdr:to>
      <xdr:col>6</xdr:col>
      <xdr:colOff>716057</xdr:colOff>
      <xdr:row>7</xdr:row>
      <xdr:rowOff>54908</xdr:rowOff>
    </xdr:to>
    <xdr:sp macro="" textlink="$H$40">
      <xdr:nvSpPr>
        <xdr:cNvPr id="30" name="Rectangle 29">
          <a:extLst>
            <a:ext uri="{FF2B5EF4-FFF2-40B4-BE49-F238E27FC236}">
              <a16:creationId xmlns:a16="http://schemas.microsoft.com/office/drawing/2014/main" id="{7A6D6CF6-10C4-4809-A34F-38744BB35FBC}"/>
            </a:ext>
          </a:extLst>
        </xdr:cNvPr>
        <xdr:cNvSpPr/>
      </xdr:nvSpPr>
      <xdr:spPr>
        <a:xfrm>
          <a:off x="3792072" y="828114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14A22-1AC3-45A4-A7EF-479480666160}" type="TxLink">
            <a:rPr lang="en-US" sz="6000" b="0" i="0" u="none" strike="noStrike">
              <a:solidFill>
                <a:srgbClr val="66FF33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66FF33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49309</xdr:colOff>
      <xdr:row>9</xdr:row>
      <xdr:rowOff>183775</xdr:rowOff>
    </xdr:from>
    <xdr:to>
      <xdr:col>6</xdr:col>
      <xdr:colOff>710456</xdr:colOff>
      <xdr:row>13</xdr:row>
      <xdr:rowOff>15687</xdr:rowOff>
    </xdr:to>
    <xdr:sp macro="" textlink="$H$40">
      <xdr:nvSpPr>
        <xdr:cNvPr id="31" name="Rectangle 30">
          <a:extLst>
            <a:ext uri="{FF2B5EF4-FFF2-40B4-BE49-F238E27FC236}">
              <a16:creationId xmlns:a16="http://schemas.microsoft.com/office/drawing/2014/main" id="{3C391B90-6551-4966-A2C3-7F2781EF2027}"/>
            </a:ext>
          </a:extLst>
        </xdr:cNvPr>
        <xdr:cNvSpPr/>
      </xdr:nvSpPr>
      <xdr:spPr>
        <a:xfrm>
          <a:off x="3786471" y="1931893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C814A22-1AC3-45A4-A7EF-479480666160}" type="TxLink">
            <a:rPr lang="en-US" sz="6000" b="0" i="0" u="none" strike="noStrike">
              <a:solidFill>
                <a:srgbClr val="66FF33"/>
              </a:solidFill>
              <a:effectLst>
                <a:glow rad="228600">
                  <a:schemeClr val="accent6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 </a:t>
          </a:fld>
          <a:endParaRPr lang="en-IN" sz="6000">
            <a:solidFill>
              <a:srgbClr val="66FF33"/>
            </a:solidFill>
            <a:effectLst>
              <a:glow rad="228600">
                <a:schemeClr val="accent6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51546</xdr:colOff>
      <xdr:row>15</xdr:row>
      <xdr:rowOff>96376</xdr:rowOff>
    </xdr:from>
    <xdr:to>
      <xdr:col>6</xdr:col>
      <xdr:colOff>712693</xdr:colOff>
      <xdr:row>18</xdr:row>
      <xdr:rowOff>118788</xdr:rowOff>
    </xdr:to>
    <xdr:sp macro="" textlink="$H$38">
      <xdr:nvSpPr>
        <xdr:cNvPr id="32" name="Rectangle 31">
          <a:extLst>
            <a:ext uri="{FF2B5EF4-FFF2-40B4-BE49-F238E27FC236}">
              <a16:creationId xmlns:a16="http://schemas.microsoft.com/office/drawing/2014/main" id="{2196C4E1-497D-464E-A073-E8DD69D22982}"/>
            </a:ext>
          </a:extLst>
        </xdr:cNvPr>
        <xdr:cNvSpPr/>
      </xdr:nvSpPr>
      <xdr:spPr>
        <a:xfrm>
          <a:off x="3788708" y="2987494"/>
          <a:ext cx="661147" cy="59391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337CC7C-3320-4740-9ECD-24DEA04D6C35}" type="TxLink">
            <a:rPr lang="en-US" sz="6000" b="0" i="0" u="none" strike="noStrike">
              <a:ln>
                <a:noFill/>
              </a:ln>
              <a:solidFill>
                <a:srgbClr val="FF0000"/>
              </a:solidFill>
              <a:effectLst>
                <a:glow rad="228600">
                  <a:schemeClr val="accent2">
                    <a:satMod val="175000"/>
                    <a:alpha val="40000"/>
                  </a:schemeClr>
                </a:glow>
              </a:effectLst>
              <a:latin typeface="Webdings" panose="05030102010509060703" pitchFamily="18" charset="2"/>
            </a:rPr>
            <a:pPr algn="ctr"/>
            <a:t>=</a:t>
          </a:fld>
          <a:endParaRPr lang="en-IN" sz="6000">
            <a:ln>
              <a:noFill/>
            </a:ln>
            <a:solidFill>
              <a:srgbClr val="FF0000"/>
            </a:solidFill>
            <a:effectLst>
              <a:glow rad="228600">
                <a:schemeClr val="accent2">
                  <a:satMod val="175000"/>
                  <a:alpha val="40000"/>
                </a:schemeClr>
              </a:glow>
            </a:effectLst>
            <a:latin typeface="Webdings" panose="05030102010509060703" pitchFamily="18" charset="2"/>
          </a:endParaRPr>
        </a:p>
      </xdr:txBody>
    </xdr:sp>
    <xdr:clientData/>
  </xdr:twoCellAnchor>
  <xdr:twoCellAnchor>
    <xdr:from>
      <xdr:col>6</xdr:col>
      <xdr:colOff>409014</xdr:colOff>
      <xdr:row>3</xdr:row>
      <xdr:rowOff>190502</xdr:rowOff>
    </xdr:from>
    <xdr:to>
      <xdr:col>10</xdr:col>
      <xdr:colOff>252133</xdr:colOff>
      <xdr:row>19</xdr:row>
      <xdr:rowOff>184898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94AAF04D-99FB-AFA3-3ECF-B658AE342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2</xdr:row>
          <xdr:rowOff>0</xdr:rowOff>
        </xdr:from>
        <xdr:to>
          <xdr:col>15</xdr:col>
          <xdr:colOff>590550</xdr:colOff>
          <xdr:row>4</xdr:row>
          <xdr:rowOff>9525</xdr:rowOff>
        </xdr:to>
        <xdr:sp macro="" textlink="">
          <xdr:nvSpPr>
            <xdr:cNvPr id="2052" name="List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10</xdr:col>
      <xdr:colOff>224118</xdr:colOff>
      <xdr:row>4</xdr:row>
      <xdr:rowOff>11206</xdr:rowOff>
    </xdr:from>
    <xdr:to>
      <xdr:col>12</xdr:col>
      <xdr:colOff>0</xdr:colOff>
      <xdr:row>19</xdr:row>
      <xdr:rowOff>189380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5D5832-3882-9C6A-E6FC-8666E7020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112058</xdr:colOff>
      <xdr:row>4</xdr:row>
      <xdr:rowOff>16809</xdr:rowOff>
    </xdr:from>
    <xdr:to>
      <xdr:col>11</xdr:col>
      <xdr:colOff>258855</xdr:colOff>
      <xdr:row>4</xdr:row>
      <xdr:rowOff>86061</xdr:rowOff>
    </xdr:to>
    <xdr:sp macro="" textlink="">
      <xdr:nvSpPr>
        <xdr:cNvPr id="4" name="Rectangle: Top Corners Snipped 3">
          <a:extLst>
            <a:ext uri="{FF2B5EF4-FFF2-40B4-BE49-F238E27FC236}">
              <a16:creationId xmlns:a16="http://schemas.microsoft.com/office/drawing/2014/main" id="{11FEF1BC-3BB4-0163-211A-33305307FB23}"/>
            </a:ext>
          </a:extLst>
        </xdr:cNvPr>
        <xdr:cNvSpPr/>
      </xdr:nvSpPr>
      <xdr:spPr>
        <a:xfrm>
          <a:off x="7233396" y="812427"/>
          <a:ext cx="146797" cy="69252"/>
        </a:xfrm>
        <a:prstGeom prst="snip2Same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0.36051</cdr:x>
      <cdr:y>0.94684</cdr:y>
    </cdr:from>
    <cdr:to>
      <cdr:x>0.90217</cdr:x>
      <cdr:y>0.96899</cdr:y>
    </cdr:to>
    <cdr:sp macro="" textlink="">
      <cdr:nvSpPr>
        <cdr:cNvPr id="2" name="Rectangle: Top Corners Snipped 1">
          <a:extLst xmlns:a="http://schemas.openxmlformats.org/drawingml/2006/main">
            <a:ext uri="{FF2B5EF4-FFF2-40B4-BE49-F238E27FC236}">
              <a16:creationId xmlns:a16="http://schemas.microsoft.com/office/drawing/2014/main" id="{2C34EDD1-3ED0-D0FD-0A83-53F936C3E7AF}"/>
            </a:ext>
          </a:extLst>
        </cdr:cNvPr>
        <cdr:cNvSpPr/>
      </cdr:nvSpPr>
      <cdr:spPr>
        <a:xfrm xmlns:a="http://schemas.openxmlformats.org/drawingml/2006/main">
          <a:off x="418119" y="2874308"/>
          <a:ext cx="628229" cy="67236"/>
        </a:xfrm>
        <a:prstGeom xmlns:a="http://schemas.openxmlformats.org/drawingml/2006/main" prst="snip2SameRect">
          <a:avLst/>
        </a:prstGeom>
        <a:solidFill xmlns:a="http://schemas.openxmlformats.org/drawingml/2006/main">
          <a:schemeClr val="tx1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0.3601</cdr:x>
      <cdr:y>0.02769</cdr:y>
    </cdr:from>
    <cdr:to>
      <cdr:x>0.90177</cdr:x>
      <cdr:y>0.0521</cdr:y>
    </cdr:to>
    <cdr:sp macro="" textlink="">
      <cdr:nvSpPr>
        <cdr:cNvPr id="4" name="Rectangle: Top Corners Snipped 3">
          <a:extLst xmlns:a="http://schemas.openxmlformats.org/drawingml/2006/main">
            <a:ext uri="{FF2B5EF4-FFF2-40B4-BE49-F238E27FC236}">
              <a16:creationId xmlns:a16="http://schemas.microsoft.com/office/drawing/2014/main" id="{A08A0698-7D08-7E2D-8BBA-ED6EB24959EF}"/>
            </a:ext>
          </a:extLst>
        </cdr:cNvPr>
        <cdr:cNvSpPr/>
      </cdr:nvSpPr>
      <cdr:spPr>
        <a:xfrm xmlns:a="http://schemas.openxmlformats.org/drawingml/2006/main">
          <a:off x="417648" y="84043"/>
          <a:ext cx="628230" cy="74109"/>
        </a:xfrm>
        <a:prstGeom xmlns:a="http://schemas.openxmlformats.org/drawingml/2006/main" prst="snip2SameRect">
          <a:avLst/>
        </a:prstGeom>
        <a:solidFill xmlns:a="http://schemas.openxmlformats.org/drawingml/2006/main">
          <a:schemeClr val="tx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645A6-1032-4FB4-B9FB-3E4DF4DCBB3F}">
  <dimension ref="A2:K18"/>
  <sheetViews>
    <sheetView zoomScale="202" zoomScaleNormal="202" workbookViewId="0">
      <selection activeCell="B6" sqref="B6"/>
    </sheetView>
  </sheetViews>
  <sheetFormatPr defaultRowHeight="15" x14ac:dyDescent="0.25"/>
  <cols>
    <col min="6" max="6" width="11.7109375" bestFit="1" customWidth="1"/>
  </cols>
  <sheetData>
    <row r="2" spans="1:11" x14ac:dyDescent="0.25">
      <c r="B2" s="2" t="s">
        <v>6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</row>
    <row r="3" spans="1:11" x14ac:dyDescent="0.25">
      <c r="A3">
        <v>1</v>
      </c>
      <c r="B3" t="s">
        <v>0</v>
      </c>
      <c r="C3" s="1">
        <v>66</v>
      </c>
      <c r="D3" s="1">
        <v>14</v>
      </c>
      <c r="E3" s="1">
        <v>90</v>
      </c>
      <c r="F3" s="1">
        <v>86</v>
      </c>
      <c r="G3" s="1">
        <v>67</v>
      </c>
      <c r="H3" s="1">
        <v>85</v>
      </c>
      <c r="I3" s="1">
        <v>34</v>
      </c>
      <c r="J3" s="1">
        <v>84</v>
      </c>
      <c r="K3" s="1">
        <v>75</v>
      </c>
    </row>
    <row r="4" spans="1:11" x14ac:dyDescent="0.25">
      <c r="A4">
        <v>2</v>
      </c>
      <c r="B4" t="s">
        <v>1</v>
      </c>
      <c r="C4" s="1">
        <v>92</v>
      </c>
      <c r="D4" s="1">
        <v>65</v>
      </c>
      <c r="E4" s="1">
        <v>75</v>
      </c>
      <c r="F4" s="1">
        <v>36</v>
      </c>
      <c r="G4" s="1">
        <v>57</v>
      </c>
      <c r="H4" s="1">
        <v>84</v>
      </c>
      <c r="I4" s="1">
        <v>35</v>
      </c>
      <c r="J4" s="1">
        <v>92</v>
      </c>
      <c r="K4" s="1">
        <v>43</v>
      </c>
    </row>
    <row r="5" spans="1:11" x14ac:dyDescent="0.25">
      <c r="A5">
        <v>3</v>
      </c>
      <c r="B5" t="s">
        <v>2</v>
      </c>
      <c r="C5" s="1">
        <v>19</v>
      </c>
      <c r="D5" s="1">
        <v>46</v>
      </c>
      <c r="E5" s="1">
        <v>41</v>
      </c>
      <c r="F5" s="1">
        <v>14</v>
      </c>
      <c r="G5" s="1">
        <v>25</v>
      </c>
      <c r="H5" s="1">
        <v>52</v>
      </c>
      <c r="I5" s="1">
        <v>40</v>
      </c>
      <c r="J5" s="1">
        <v>84</v>
      </c>
      <c r="K5" s="1">
        <v>52</v>
      </c>
    </row>
    <row r="6" spans="1:11" x14ac:dyDescent="0.25">
      <c r="A6">
        <v>4</v>
      </c>
      <c r="B6" t="s">
        <v>3</v>
      </c>
      <c r="C6" s="1">
        <v>55</v>
      </c>
      <c r="D6" s="1">
        <v>24</v>
      </c>
      <c r="E6" s="1">
        <v>86</v>
      </c>
      <c r="F6" s="1">
        <v>77</v>
      </c>
      <c r="G6" s="1">
        <v>61</v>
      </c>
      <c r="H6" s="1">
        <v>64</v>
      </c>
      <c r="I6" s="1">
        <v>11</v>
      </c>
      <c r="J6" s="1">
        <v>100</v>
      </c>
      <c r="K6" s="1">
        <v>53</v>
      </c>
    </row>
    <row r="7" spans="1:11" x14ac:dyDescent="0.25">
      <c r="A7">
        <v>5</v>
      </c>
      <c r="B7" t="s">
        <v>4</v>
      </c>
      <c r="C7" s="1">
        <v>50</v>
      </c>
      <c r="D7" s="1">
        <v>30</v>
      </c>
      <c r="E7" s="1">
        <v>16</v>
      </c>
      <c r="F7" s="1">
        <v>20</v>
      </c>
      <c r="G7" s="1">
        <v>91</v>
      </c>
      <c r="H7" s="1">
        <v>59</v>
      </c>
      <c r="I7" s="1">
        <v>49</v>
      </c>
      <c r="J7" s="1">
        <v>18</v>
      </c>
      <c r="K7" s="1">
        <v>17</v>
      </c>
    </row>
    <row r="8" spans="1:11" x14ac:dyDescent="0.25">
      <c r="A8">
        <v>6</v>
      </c>
      <c r="B8" t="s">
        <v>5</v>
      </c>
      <c r="C8" s="1">
        <v>34</v>
      </c>
      <c r="D8" s="1">
        <v>63</v>
      </c>
      <c r="E8" s="1">
        <v>52</v>
      </c>
      <c r="F8" s="1">
        <v>83</v>
      </c>
      <c r="G8" s="1">
        <v>53</v>
      </c>
      <c r="H8" s="1">
        <v>38</v>
      </c>
      <c r="I8" s="1">
        <v>50</v>
      </c>
      <c r="J8" s="1">
        <v>44</v>
      </c>
      <c r="K8" s="1">
        <v>92</v>
      </c>
    </row>
    <row r="9" spans="1:11" x14ac:dyDescent="0.25">
      <c r="A9">
        <v>7</v>
      </c>
      <c r="B9" t="s">
        <v>25</v>
      </c>
      <c r="C9" s="1">
        <v>94</v>
      </c>
      <c r="D9" s="1">
        <v>54</v>
      </c>
      <c r="E9" s="1">
        <v>33</v>
      </c>
      <c r="F9" s="1">
        <v>32</v>
      </c>
      <c r="G9" s="1">
        <v>44</v>
      </c>
      <c r="H9" s="1">
        <v>92</v>
      </c>
      <c r="I9" s="1">
        <v>31</v>
      </c>
      <c r="J9" s="1">
        <v>20</v>
      </c>
      <c r="K9" s="1">
        <v>47</v>
      </c>
    </row>
    <row r="12" spans="1:11" x14ac:dyDescent="0.25">
      <c r="C12" s="3" t="s">
        <v>7</v>
      </c>
    </row>
    <row r="13" spans="1:11" x14ac:dyDescent="0.25">
      <c r="C13" s="3" t="s">
        <v>8</v>
      </c>
    </row>
    <row r="14" spans="1:11" x14ac:dyDescent="0.25">
      <c r="C14" s="3" t="s">
        <v>9</v>
      </c>
    </row>
    <row r="15" spans="1:11" x14ac:dyDescent="0.25">
      <c r="C15" s="3" t="s">
        <v>10</v>
      </c>
    </row>
    <row r="16" spans="1:11" x14ac:dyDescent="0.25">
      <c r="C16" s="3" t="s">
        <v>11</v>
      </c>
    </row>
    <row r="17" spans="3:3" x14ac:dyDescent="0.25">
      <c r="C17" s="3" t="s">
        <v>12</v>
      </c>
    </row>
    <row r="18" spans="3:3" x14ac:dyDescent="0.25">
      <c r="C18" s="3" t="s">
        <v>13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8E11-249A-4880-B448-22BD139BC197}">
  <dimension ref="A1:W68"/>
  <sheetViews>
    <sheetView tabSelected="1" zoomScale="170" zoomScaleNormal="170" workbookViewId="0">
      <selection activeCell="A5" sqref="A5:A9"/>
    </sheetView>
  </sheetViews>
  <sheetFormatPr defaultRowHeight="15" x14ac:dyDescent="0.25"/>
  <cols>
    <col min="6" max="6" width="10.28515625" bestFit="1" customWidth="1"/>
    <col min="7" max="7" width="11.7109375" bestFit="1" customWidth="1"/>
    <col min="11" max="11" width="11.5703125" customWidth="1"/>
    <col min="18" max="18" width="10.28515625" bestFit="1" customWidth="1"/>
  </cols>
  <sheetData>
    <row r="1" spans="1:16" x14ac:dyDescent="0.25">
      <c r="A1" s="29" t="s">
        <v>14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</row>
    <row r="2" spans="1:16" ht="15.75" thickBot="1" x14ac:dyDescent="0.3">
      <c r="A2" s="32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1:16" ht="15.75" thickBot="1" x14ac:dyDescent="0.3">
      <c r="A3" s="35">
        <v>1</v>
      </c>
      <c r="B3" s="36"/>
      <c r="C3" s="4" t="str">
        <f>Sheet1!B2</f>
        <v>City</v>
      </c>
      <c r="D3" s="5" t="str">
        <f>Sheet1!C2</f>
        <v>Week 1</v>
      </c>
      <c r="E3" s="5" t="str">
        <f>Sheet1!D2</f>
        <v>Week 2</v>
      </c>
      <c r="F3" s="5" t="str">
        <f>Sheet1!E2</f>
        <v>Week 3</v>
      </c>
      <c r="G3" s="5" t="str">
        <f>Sheet1!F2</f>
        <v>Week 4</v>
      </c>
      <c r="H3" s="5" t="str">
        <f>Sheet1!G2</f>
        <v>Week 5</v>
      </c>
      <c r="I3" s="5" t="str">
        <f>Sheet1!H2</f>
        <v>Week 6</v>
      </c>
      <c r="J3" s="5" t="str">
        <f>Sheet1!I2</f>
        <v>Week 7</v>
      </c>
      <c r="K3" s="5" t="str">
        <f>Sheet1!J2</f>
        <v>Week 8</v>
      </c>
      <c r="L3" s="5" t="str">
        <f>Sheet1!K2</f>
        <v>Week 9</v>
      </c>
      <c r="M3" s="6" t="s">
        <v>15</v>
      </c>
      <c r="N3" s="7"/>
      <c r="O3" s="7"/>
      <c r="P3" s="8"/>
    </row>
    <row r="4" spans="1:16" ht="15.75" thickBot="1" x14ac:dyDescent="0.3">
      <c r="A4" s="37"/>
      <c r="B4" s="38"/>
      <c r="C4" s="3" t="str" cm="1">
        <f t="array" ref="C4">INDEX(Sheet1!$B$3:$B$9,A3,1)</f>
        <v>Delhi</v>
      </c>
      <c r="D4" s="3">
        <f>VLOOKUP($C$4,Sheet1!$B$2:$K$9,COLUMN(Sheet1!B2),0)</f>
        <v>66</v>
      </c>
      <c r="E4" s="3">
        <f>VLOOKUP($C$4,Sheet1!$B$2:$K$9,COLUMN(Sheet1!C2),0)</f>
        <v>14</v>
      </c>
      <c r="F4" s="3">
        <f>VLOOKUP($C$4,Sheet1!$B$2:$K$9,COLUMN(Sheet1!D2),0)</f>
        <v>90</v>
      </c>
      <c r="G4" s="3">
        <f>VLOOKUP($C$4,Sheet1!$B$2:$K$9,COLUMN(Sheet1!E2),0)</f>
        <v>86</v>
      </c>
      <c r="H4" s="3">
        <f>VLOOKUP($C$4,Sheet1!$B$2:$K$9,COLUMN(Sheet1!F2),0)</f>
        <v>67</v>
      </c>
      <c r="I4" s="3">
        <f>VLOOKUP($C$4,Sheet1!$B$2:$K$9,COLUMN(Sheet1!G2),0)</f>
        <v>85</v>
      </c>
      <c r="J4" s="3">
        <f>VLOOKUP($C$4,Sheet1!$B$2:$K$9,COLUMN(Sheet1!H2),0)</f>
        <v>34</v>
      </c>
      <c r="K4" s="49">
        <f>VLOOKUP($C$4,Sheet1!$B$2:$K$9,COLUMN(Sheet1!I2),0)</f>
        <v>84</v>
      </c>
      <c r="L4" s="49">
        <f>VLOOKUP($C$4,Sheet1!$B$2:$K$9,COLUMN(Sheet1!J2),0)</f>
        <v>75</v>
      </c>
      <c r="M4" s="17">
        <f>ROUND(AVERAGE(D4:L4),0)</f>
        <v>67</v>
      </c>
      <c r="N4" s="10"/>
      <c r="O4" s="15">
        <f>M4/100</f>
        <v>0.67</v>
      </c>
      <c r="P4" s="16"/>
    </row>
    <row r="5" spans="1:16" x14ac:dyDescent="0.25">
      <c r="A5" s="46"/>
      <c r="B5" s="39"/>
      <c r="C5" s="39"/>
      <c r="D5" s="39"/>
      <c r="E5" s="39"/>
      <c r="F5" s="39"/>
      <c r="G5" s="11"/>
      <c r="H5" s="43"/>
      <c r="I5" s="43"/>
      <c r="J5" s="43"/>
      <c r="K5" s="43"/>
      <c r="L5" s="13"/>
      <c r="M5" s="39"/>
      <c r="N5" s="39"/>
      <c r="O5" s="39"/>
      <c r="P5" s="41"/>
    </row>
    <row r="6" spans="1:16" x14ac:dyDescent="0.25">
      <c r="A6" s="47"/>
      <c r="B6" s="39"/>
      <c r="C6" s="39"/>
      <c r="D6" s="39"/>
      <c r="E6" s="39"/>
      <c r="F6" s="39"/>
      <c r="G6" s="11"/>
      <c r="H6" s="44"/>
      <c r="I6" s="44"/>
      <c r="J6" s="44"/>
      <c r="K6" s="44"/>
      <c r="L6" s="13"/>
      <c r="M6" s="39"/>
      <c r="N6" s="39"/>
      <c r="O6" s="39"/>
      <c r="P6" s="41"/>
    </row>
    <row r="7" spans="1:16" x14ac:dyDescent="0.25">
      <c r="A7" s="47"/>
      <c r="B7" s="39"/>
      <c r="C7" s="39"/>
      <c r="D7" s="39"/>
      <c r="E7" s="39"/>
      <c r="F7" s="39"/>
      <c r="G7" s="11"/>
      <c r="H7" s="44"/>
      <c r="I7" s="44"/>
      <c r="J7" s="44"/>
      <c r="K7" s="44"/>
      <c r="L7" s="13"/>
      <c r="M7" s="39"/>
      <c r="N7" s="39"/>
      <c r="O7" s="39"/>
      <c r="P7" s="41"/>
    </row>
    <row r="8" spans="1:16" x14ac:dyDescent="0.25">
      <c r="A8" s="47"/>
      <c r="B8" s="39"/>
      <c r="C8" s="39"/>
      <c r="D8" s="39"/>
      <c r="E8" s="39"/>
      <c r="F8" s="39"/>
      <c r="G8" s="11"/>
      <c r="H8" s="44"/>
      <c r="I8" s="44"/>
      <c r="J8" s="44"/>
      <c r="K8" s="44"/>
      <c r="L8" s="13"/>
      <c r="M8" s="39"/>
      <c r="N8" s="39"/>
      <c r="O8" s="39"/>
      <c r="P8" s="41"/>
    </row>
    <row r="9" spans="1:16" x14ac:dyDescent="0.25">
      <c r="A9" s="47"/>
      <c r="B9" s="39"/>
      <c r="C9" s="39"/>
      <c r="D9" s="39"/>
      <c r="E9" s="39"/>
      <c r="F9" s="39"/>
      <c r="G9" s="11"/>
      <c r="H9" s="44"/>
      <c r="I9" s="44"/>
      <c r="J9" s="44"/>
      <c r="K9" s="44"/>
      <c r="L9" s="13"/>
      <c r="M9" s="39"/>
      <c r="N9" s="39"/>
      <c r="O9" s="39"/>
      <c r="P9" s="41"/>
    </row>
    <row r="10" spans="1:16" x14ac:dyDescent="0.25">
      <c r="A10" s="9"/>
      <c r="B10" s="39"/>
      <c r="C10" s="39"/>
      <c r="D10" s="39"/>
      <c r="E10" s="39"/>
      <c r="F10" s="39"/>
      <c r="G10" s="11"/>
      <c r="H10" s="44"/>
      <c r="I10" s="44"/>
      <c r="J10" s="44"/>
      <c r="K10" s="44"/>
      <c r="L10" s="13"/>
      <c r="M10" s="39"/>
      <c r="N10" s="39"/>
      <c r="O10" s="39"/>
      <c r="P10" s="41"/>
    </row>
    <row r="11" spans="1:16" x14ac:dyDescent="0.25">
      <c r="A11" s="9"/>
      <c r="B11" s="39"/>
      <c r="C11" s="39"/>
      <c r="D11" s="39"/>
      <c r="E11" s="39"/>
      <c r="F11" s="39"/>
      <c r="G11" s="11"/>
      <c r="H11" s="44"/>
      <c r="I11" s="44"/>
      <c r="J11" s="44"/>
      <c r="K11" s="44"/>
      <c r="L11" s="13"/>
      <c r="M11" s="39"/>
      <c r="N11" s="39"/>
      <c r="O11" s="39"/>
      <c r="P11" s="41"/>
    </row>
    <row r="12" spans="1:16" x14ac:dyDescent="0.25">
      <c r="A12" s="9"/>
      <c r="B12" s="39"/>
      <c r="C12" s="39"/>
      <c r="D12" s="39"/>
      <c r="E12" s="39"/>
      <c r="F12" s="39"/>
      <c r="G12" s="11"/>
      <c r="H12" s="44"/>
      <c r="I12" s="44"/>
      <c r="J12" s="44"/>
      <c r="K12" s="44"/>
      <c r="L12" s="13"/>
      <c r="M12" s="39"/>
      <c r="N12" s="39"/>
      <c r="O12" s="39"/>
      <c r="P12" s="41"/>
    </row>
    <row r="13" spans="1:16" x14ac:dyDescent="0.25">
      <c r="A13" s="9"/>
      <c r="B13" s="39"/>
      <c r="C13" s="39"/>
      <c r="D13" s="39"/>
      <c r="E13" s="39"/>
      <c r="F13" s="39"/>
      <c r="G13" s="11"/>
      <c r="H13" s="44"/>
      <c r="I13" s="44"/>
      <c r="J13" s="44"/>
      <c r="K13" s="44"/>
      <c r="L13" s="13"/>
      <c r="M13" s="39"/>
      <c r="N13" s="39"/>
      <c r="O13" s="39"/>
      <c r="P13" s="41"/>
    </row>
    <row r="14" spans="1:16" x14ac:dyDescent="0.25">
      <c r="A14" s="47"/>
      <c r="B14" s="39"/>
      <c r="C14" s="39"/>
      <c r="D14" s="39"/>
      <c r="E14" s="39"/>
      <c r="F14" s="39"/>
      <c r="G14" s="11"/>
      <c r="H14" s="44"/>
      <c r="I14" s="44"/>
      <c r="J14" s="44"/>
      <c r="K14" s="44"/>
      <c r="L14" s="13"/>
      <c r="M14" s="39"/>
      <c r="N14" s="39"/>
      <c r="O14" s="39"/>
      <c r="P14" s="41"/>
    </row>
    <row r="15" spans="1:16" x14ac:dyDescent="0.25">
      <c r="A15" s="47"/>
      <c r="B15" s="39"/>
      <c r="C15" s="39"/>
      <c r="D15" s="39"/>
      <c r="E15" s="39"/>
      <c r="F15" s="39"/>
      <c r="G15" s="11"/>
      <c r="H15" s="44"/>
      <c r="I15" s="44"/>
      <c r="J15" s="44"/>
      <c r="K15" s="44"/>
      <c r="L15" s="13"/>
      <c r="M15" s="39"/>
      <c r="N15" s="39"/>
      <c r="O15" s="39"/>
      <c r="P15" s="41"/>
    </row>
    <row r="16" spans="1:16" x14ac:dyDescent="0.25">
      <c r="A16" s="47"/>
      <c r="B16" s="39"/>
      <c r="C16" s="39"/>
      <c r="D16" s="39"/>
      <c r="E16" s="39"/>
      <c r="F16" s="39"/>
      <c r="G16" s="11"/>
      <c r="H16" s="44"/>
      <c r="I16" s="44"/>
      <c r="J16" s="44"/>
      <c r="K16" s="44"/>
      <c r="L16" s="13"/>
      <c r="M16" s="39"/>
      <c r="N16" s="39"/>
      <c r="O16" s="39"/>
      <c r="P16" s="41"/>
    </row>
    <row r="17" spans="1:16" x14ac:dyDescent="0.25">
      <c r="A17" s="47"/>
      <c r="B17" s="39"/>
      <c r="C17" s="39"/>
      <c r="D17" s="39"/>
      <c r="E17" s="39"/>
      <c r="F17" s="39"/>
      <c r="G17" s="11"/>
      <c r="H17" s="44"/>
      <c r="I17" s="44"/>
      <c r="J17" s="44"/>
      <c r="K17" s="44"/>
      <c r="L17" s="13"/>
      <c r="M17" s="39"/>
      <c r="N17" s="39"/>
      <c r="O17" s="39"/>
      <c r="P17" s="41"/>
    </row>
    <row r="18" spans="1:16" x14ac:dyDescent="0.25">
      <c r="A18" s="47"/>
      <c r="B18" s="39"/>
      <c r="C18" s="39"/>
      <c r="D18" s="39"/>
      <c r="E18" s="39"/>
      <c r="F18" s="39"/>
      <c r="G18" s="11"/>
      <c r="H18" s="44"/>
      <c r="I18" s="44"/>
      <c r="J18" s="44"/>
      <c r="K18" s="44"/>
      <c r="L18" s="13"/>
      <c r="M18" s="39"/>
      <c r="N18" s="39"/>
      <c r="O18" s="39"/>
      <c r="P18" s="41"/>
    </row>
    <row r="19" spans="1:16" x14ac:dyDescent="0.25">
      <c r="A19" s="47"/>
      <c r="B19" s="39"/>
      <c r="C19" s="39"/>
      <c r="D19" s="39"/>
      <c r="E19" s="39"/>
      <c r="F19" s="39"/>
      <c r="G19" s="11"/>
      <c r="H19" s="44"/>
      <c r="I19" s="44"/>
      <c r="J19" s="44"/>
      <c r="K19" s="44"/>
      <c r="L19" s="13"/>
      <c r="M19" s="39"/>
      <c r="N19" s="39"/>
      <c r="O19" s="39"/>
      <c r="P19" s="41"/>
    </row>
    <row r="20" spans="1:16" ht="15.75" thickBot="1" x14ac:dyDescent="0.3">
      <c r="A20" s="48"/>
      <c r="B20" s="40"/>
      <c r="C20" s="40"/>
      <c r="D20" s="40"/>
      <c r="E20" s="40"/>
      <c r="F20" s="40"/>
      <c r="G20" s="12"/>
      <c r="H20" s="45"/>
      <c r="I20" s="45"/>
      <c r="J20" s="45"/>
      <c r="K20" s="45"/>
      <c r="L20" s="14"/>
      <c r="M20" s="40"/>
      <c r="N20" s="40"/>
      <c r="O20" s="40"/>
      <c r="P20" s="42"/>
    </row>
    <row r="26" spans="1:16" ht="15.75" thickBot="1" x14ac:dyDescent="0.3"/>
    <row r="27" spans="1:16" x14ac:dyDescent="0.25">
      <c r="L27" s="20"/>
      <c r="M27" s="21"/>
      <c r="N27" s="21"/>
      <c r="O27" s="22"/>
    </row>
    <row r="28" spans="1:16" x14ac:dyDescent="0.25">
      <c r="L28" s="23"/>
      <c r="M28" s="24"/>
      <c r="N28" s="24"/>
      <c r="O28" s="25"/>
    </row>
    <row r="29" spans="1:16" ht="15.75" thickBot="1" x14ac:dyDescent="0.3">
      <c r="L29" s="26"/>
      <c r="M29" s="27"/>
      <c r="N29" s="27"/>
      <c r="O29" s="28"/>
    </row>
    <row r="30" spans="1:16" ht="15.75" thickBot="1" x14ac:dyDescent="0.3"/>
    <row r="31" spans="1:16" x14ac:dyDescent="0.25">
      <c r="L31" s="20"/>
      <c r="M31" s="21"/>
      <c r="N31" s="21"/>
      <c r="O31" s="22"/>
    </row>
    <row r="32" spans="1:16" x14ac:dyDescent="0.25">
      <c r="L32" s="23"/>
      <c r="M32" s="24"/>
      <c r="N32" s="24"/>
      <c r="O32" s="25"/>
    </row>
    <row r="33" spans="7:15" ht="15.75" thickBot="1" x14ac:dyDescent="0.3">
      <c r="L33" s="26"/>
      <c r="M33" s="27"/>
      <c r="N33" s="27"/>
      <c r="O33" s="28"/>
    </row>
    <row r="34" spans="7:15" ht="15.75" thickBot="1" x14ac:dyDescent="0.3"/>
    <row r="35" spans="7:15" x14ac:dyDescent="0.25">
      <c r="L35" s="20"/>
      <c r="M35" s="21"/>
      <c r="N35" s="21"/>
      <c r="O35" s="22"/>
    </row>
    <row r="36" spans="7:15" x14ac:dyDescent="0.25">
      <c r="L36" s="23"/>
      <c r="M36" s="24"/>
      <c r="N36" s="24"/>
      <c r="O36" s="25"/>
    </row>
    <row r="37" spans="7:15" ht="15.75" thickBot="1" x14ac:dyDescent="0.3">
      <c r="L37" s="26"/>
      <c r="M37" s="27"/>
      <c r="N37" s="27"/>
      <c r="O37" s="28"/>
    </row>
    <row r="38" spans="7:15" x14ac:dyDescent="0.25">
      <c r="G38" t="s">
        <v>26</v>
      </c>
      <c r="H38" t="str">
        <f>IF(M4&gt;50,"=","")</f>
        <v>=</v>
      </c>
      <c r="K38" t="s">
        <v>31</v>
      </c>
    </row>
    <row r="39" spans="7:15" x14ac:dyDescent="0.25">
      <c r="G39" t="s">
        <v>28</v>
      </c>
      <c r="H39" t="str">
        <f>IF(AND(M4&gt;=40,M4&lt;=50),"=","")</f>
        <v/>
      </c>
    </row>
    <row r="40" spans="7:15" x14ac:dyDescent="0.25">
      <c r="G40" t="s">
        <v>27</v>
      </c>
      <c r="H40" t="str">
        <f>IF(M4&lt;40,"=","")</f>
        <v/>
      </c>
      <c r="O40" s="18" t="e">
        <f>#REF!/100</f>
        <v>#REF!</v>
      </c>
    </row>
    <row r="57" spans="19:23" x14ac:dyDescent="0.25">
      <c r="S57" t="s">
        <v>29</v>
      </c>
      <c r="T57" t="s">
        <v>30</v>
      </c>
    </row>
    <row r="58" spans="19:23" x14ac:dyDescent="0.25">
      <c r="S58">
        <v>10</v>
      </c>
      <c r="T58">
        <f>M4</f>
        <v>67</v>
      </c>
    </row>
    <row r="59" spans="19:23" x14ac:dyDescent="0.25">
      <c r="S59">
        <v>10</v>
      </c>
      <c r="T59">
        <v>1</v>
      </c>
      <c r="W59" s="18">
        <f>M4/100</f>
        <v>0.67</v>
      </c>
    </row>
    <row r="60" spans="19:23" x14ac:dyDescent="0.25">
      <c r="S60">
        <v>10</v>
      </c>
      <c r="T60">
        <f>200-(T58+T59)</f>
        <v>132</v>
      </c>
    </row>
    <row r="61" spans="19:23" x14ac:dyDescent="0.25">
      <c r="S61">
        <v>10</v>
      </c>
    </row>
    <row r="62" spans="19:23" x14ac:dyDescent="0.25">
      <c r="S62">
        <v>10</v>
      </c>
    </row>
    <row r="63" spans="19:23" x14ac:dyDescent="0.25">
      <c r="S63">
        <v>10</v>
      </c>
    </row>
    <row r="64" spans="19:23" x14ac:dyDescent="0.25">
      <c r="S64">
        <v>10</v>
      </c>
    </row>
    <row r="65" spans="18:19" x14ac:dyDescent="0.25">
      <c r="S65">
        <v>10</v>
      </c>
    </row>
    <row r="66" spans="18:19" x14ac:dyDescent="0.25">
      <c r="S66">
        <v>10</v>
      </c>
    </row>
    <row r="67" spans="18:19" x14ac:dyDescent="0.25">
      <c r="R67" s="19">
        <f>W59</f>
        <v>0.67</v>
      </c>
      <c r="S67">
        <v>10</v>
      </c>
    </row>
    <row r="68" spans="18:19" x14ac:dyDescent="0.25">
      <c r="S68">
        <v>100</v>
      </c>
    </row>
  </sheetData>
  <mergeCells count="10">
    <mergeCell ref="L27:O29"/>
    <mergeCell ref="L31:O33"/>
    <mergeCell ref="L35:O37"/>
    <mergeCell ref="A1:P2"/>
    <mergeCell ref="A3:B4"/>
    <mergeCell ref="B5:F20"/>
    <mergeCell ref="M5:P20"/>
    <mergeCell ref="H5:K20"/>
    <mergeCell ref="A5:A9"/>
    <mergeCell ref="A14:A20"/>
  </mergeCells>
  <conditionalFormatting sqref="B5">
    <cfRule type="expression" dxfId="5" priority="7">
      <formula>AND($M$4&gt;=40,$M$4&lt;=50)</formula>
    </cfRule>
    <cfRule type="expression" dxfId="4" priority="8">
      <formula>$M$4&lt;40</formula>
    </cfRule>
    <cfRule type="expression" dxfId="3" priority="9">
      <formula>$M$4&gt;50</formula>
    </cfRule>
  </conditionalFormatting>
  <conditionalFormatting sqref="M5:P20">
    <cfRule type="expression" dxfId="2" priority="4">
      <formula>AND($M$4&gt;=40,$M$4&lt;=50)</formula>
    </cfRule>
    <cfRule type="expression" dxfId="1" priority="5">
      <formula>$M$4&lt;40</formula>
    </cfRule>
    <cfRule type="expression" dxfId="0" priority="6">
      <formula>$M$4&gt;50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Spinner 2">
              <controlPr defaultSize="0" autoPict="0">
                <anchor moveWithCells="1" sizeWithCells="1">
                  <from>
                    <xdr:col>0</xdr:col>
                    <xdr:colOff>0</xdr:colOff>
                    <xdr:row>8</xdr:row>
                    <xdr:rowOff>95250</xdr:rowOff>
                  </from>
                  <to>
                    <xdr:col>1</xdr:col>
                    <xdr:colOff>0</xdr:colOff>
                    <xdr:row>13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4" name="List Box 4">
              <controlPr defaultSize="0" autoLine="0" autoPict="0">
                <anchor moveWithCells="1">
                  <from>
                    <xdr:col>13</xdr:col>
                    <xdr:colOff>0</xdr:colOff>
                    <xdr:row>2</xdr:row>
                    <xdr:rowOff>0</xdr:rowOff>
                  </from>
                  <to>
                    <xdr:col>15</xdr:col>
                    <xdr:colOff>590550</xdr:colOff>
                    <xdr:row>4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</dc:creator>
  <cp:lastModifiedBy>aksh</cp:lastModifiedBy>
  <dcterms:created xsi:type="dcterms:W3CDTF">2026-08-03T14:51:23Z</dcterms:created>
  <dcterms:modified xsi:type="dcterms:W3CDTF">2026-09-26T15:53:27Z</dcterms:modified>
</cp:coreProperties>
</file>